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 Ratio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;(0.0&quot;%&quot;);&quot;-&quot;"/>
    <numFmt numFmtId="165" formatCode="0.00&quot;x&quot;;(0.00&quot;x&quot;);&quot;-&quot;"/>
    <numFmt numFmtId="166" formatCode="#,##0;(#,##0);&quot;-&quot;"/>
    <numFmt numFmtId="167" formatCode="#,##0.00;(#,##0.00);&quot;-&quot;"/>
  </numFmts>
  <fonts count="22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595959"/>
      <sz val="10"/>
    </font>
    <font>
      <b val="1"/>
      <color rgb="00FFFFFF"/>
      <sz val="11"/>
    </font>
    <font>
      <b val="1"/>
      <color rgb="001F4E79"/>
      <sz val="10"/>
    </font>
    <font>
      <color rgb="00595959"/>
    </font>
    <font>
      <i val="1"/>
      <color rgb="00595959"/>
      <sz val="9"/>
    </font>
    <font>
      <color rgb="00FF0000"/>
    </font>
    <font>
      <b val="1"/>
      <color rgb="001F4E79"/>
      <sz val="15"/>
    </font>
    <font>
      <b val="1"/>
      <color rgb="001F4E79"/>
      <sz val="12"/>
    </font>
    <font>
      <i val="1"/>
      <color rgb="001F4E79"/>
      <sz val="10"/>
    </font>
    <font>
      <b val="1"/>
      <color rgb="00595959"/>
      <sz val="9"/>
    </font>
    <font>
      <b val="1"/>
      <color rgb="001F4E79"/>
      <sz val="13"/>
    </font>
    <font>
      <color rgb="00595959"/>
      <sz val="8"/>
    </font>
    <font>
      <b val="1"/>
      <color rgb="00FFFFFF"/>
      <sz val="9"/>
    </font>
    <font>
      <b val="1"/>
      <color rgb="001F4E79"/>
      <sz val="9"/>
    </font>
    <font>
      <i val="1"/>
      <color rgb="00595959"/>
      <sz val="8"/>
    </font>
    <font>
      <color rgb="001F4E79"/>
      <sz val="10"/>
    </font>
    <font>
      <b val="1"/>
      <color rgb="00375623"/>
      <sz val="10"/>
    </font>
    <font>
      <b val="1"/>
      <color rgb="007B0000"/>
      <sz val="10"/>
    </font>
    <font>
      <color rgb="001F4E79"/>
      <sz val="9"/>
    </font>
  </fonts>
  <fills count="10">
    <fill>
      <patternFill/>
    </fill>
    <fill>
      <patternFill patternType="gray125"/>
    </fill>
    <fill>
      <patternFill patternType="solid">
        <fgColor rgb="00EBF2FF"/>
        <bgColor rgb="00EBF2FF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FFFFFF"/>
        <bgColor rgb="00FFFFFF"/>
      </patternFill>
    </fill>
    <fill>
      <patternFill patternType="solid">
        <fgColor rgb="00D6E8D4"/>
        <bgColor rgb="00D6E8D4"/>
      </patternFill>
    </fill>
    <fill>
      <patternFill patternType="solid">
        <fgColor rgb="00F2D7D7"/>
        <bgColor rgb="00F2D7D7"/>
      </patternFill>
    </fill>
  </fills>
  <borders count="5">
    <border>
      <left/>
      <right/>
      <top/>
      <bottom/>
      <diagonal/>
    </border>
    <border>
      <bottom style="medium"/>
    </border>
    <border>
      <left style="medium">
        <color rgb="0070AD47"/>
      </left>
    </border>
    <border>
      <left style="medium">
        <color rgb="00C00000"/>
      </left>
    </border>
    <border>
      <top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9" fillId="5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top" wrapText="1"/>
    </xf>
    <xf numFmtId="0" fontId="5" fillId="4" borderId="0" pivotButton="0" quotePrefix="0" xfId="0"/>
    <xf numFmtId="0" fontId="12" fillId="2" borderId="0" applyAlignment="1" pivotButton="0" quotePrefix="0" xfId="0">
      <alignment horizontal="center"/>
    </xf>
    <xf numFmtId="166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15" fillId="6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2" fillId="7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6" fillId="5" borderId="0" applyAlignment="1" pivotButton="0" quotePrefix="0" xfId="0">
      <alignment horizontal="center"/>
    </xf>
    <xf numFmtId="0" fontId="5" fillId="0" borderId="0" pivotButton="0" quotePrefix="0" xfId="0"/>
    <xf numFmtId="166" fontId="5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7" fillId="0" borderId="0" pivotButton="0" quotePrefix="0" xfId="0"/>
    <xf numFmtId="0" fontId="18" fillId="0" borderId="2" applyAlignment="1" pivotButton="0" quotePrefix="0" xfId="0">
      <alignment wrapText="1" indent="1"/>
    </xf>
    <xf numFmtId="0" fontId="18" fillId="0" borderId="3" applyAlignment="1" pivotButton="0" quotePrefix="0" xfId="0">
      <alignment wrapText="1" indent="1"/>
    </xf>
    <xf numFmtId="0" fontId="19" fillId="8" borderId="0" applyAlignment="1" pivotButton="0" quotePrefix="0" xfId="0">
      <alignment horizontal="center"/>
    </xf>
    <xf numFmtId="0" fontId="20" fillId="9" borderId="0" applyAlignment="1" pivotButton="0" quotePrefix="0" xfId="0">
      <alignment horizontal="center"/>
    </xf>
    <xf numFmtId="0" fontId="21" fillId="0" borderId="2" applyAlignment="1" pivotButton="0" quotePrefix="0" xfId="0">
      <alignment vertical="top" wrapText="1" indent="1"/>
    </xf>
    <xf numFmtId="0" fontId="21" fillId="0" borderId="3" applyAlignment="1" pivotButton="0" quotePrefix="0" xfId="0">
      <alignment vertical="top" wrapText="1" indent="1"/>
    </xf>
    <xf numFmtId="0" fontId="17" fillId="0" borderId="4" applyAlignment="1" pivotButton="0" quotePrefix="0" xfId="0">
      <alignment horizontal="center"/>
    </xf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3" borderId="0" applyAlignment="1" pivotButton="0" quotePrefix="0" xfId="0">
      <alignment horizontal="right"/>
    </xf>
    <xf numFmtId="0" fontId="0" fillId="4" borderId="0" pivotButton="0" quotePrefix="0" xfId="0"/>
    <xf numFmtId="0" fontId="0" fillId="0" borderId="0" applyAlignment="1" pivotButton="0" quotePrefix="0" xfId="0">
      <alignment indent="1"/>
    </xf>
    <xf numFmtId="0" fontId="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60" customWidth="1" min="3" max="3"/>
    <col width="60" customWidth="1" min="4" max="4"/>
    <col width="24" customWidth="1" min="5" max="5"/>
  </cols>
  <sheetData>
    <row r="1" ht="26" customHeight="1">
      <c r="A1" s="1" t="inlineStr">
        <is>
          <t>[ INVESTIGATE ]</t>
        </is>
      </c>
      <c r="C1" s="2" t="inlineStr">
        <is>
          <t>Agnico Eagle Mines Limited</t>
        </is>
      </c>
    </row>
    <row r="2" ht="16" customHeight="1">
      <c r="C2" s="3" t="inlineStr">
        <is>
          <t>Ticker: AEM   ·   Sector: Gold Mining   ·   Filing date: 2025-12-31</t>
        </is>
      </c>
    </row>
    <row r="3" ht="50" customHeight="1">
      <c r="A3" s="4" t="inlineStr">
        <is>
          <t>Agnico Eagle has transformed its balance sheet from net debt to $2.67B net cash in a single year while generating $4.4B in free cash flow, demonstrating that the operating leverage to gold price is fully intact and the capital structure is now unencumbered to fund a multi-asset development pipeline. The combination of $2.59B authorized buyback capacity, a 12.5% dividend increase announced for Q1 2026, record mineral reserves of 55.4M oz, and East Gouldie first production imminent creates a compounding return profile at current gold prices.</t>
        </is>
      </c>
    </row>
    <row r="4" ht="20" customHeight="1"/>
    <row r="5"/>
    <row r="6">
      <c r="A6" s="5" t="inlineStr">
        <is>
          <t>FINANCIALS AT A GLANCE</t>
        </is>
      </c>
    </row>
    <row r="7">
      <c r="A7" s="6" t="inlineStr">
        <is>
          <t>Revenue</t>
        </is>
      </c>
      <c r="B7" s="6" t="inlineStr">
        <is>
          <t>Gross Profit</t>
        </is>
      </c>
      <c r="C7" s="6" t="inlineStr">
        <is>
          <t>EBITDA</t>
        </is>
      </c>
      <c r="D7" s="6" t="inlineStr">
        <is>
          <t>Net Income</t>
        </is>
      </c>
      <c r="E7" s="6" t="inlineStr">
        <is>
          <t>Free Cash Flow</t>
        </is>
      </c>
    </row>
    <row r="8" ht="22" customHeight="1">
      <c r="A8" s="7" t="n">
        <v>11907851000</v>
      </c>
      <c r="B8" s="7" t="n"/>
      <c r="C8" s="7" t="n"/>
      <c r="D8" s="7" t="n">
        <v>4461461000</v>
      </c>
      <c r="E8" s="7" t="n">
        <v>4398913000</v>
      </c>
    </row>
    <row r="9">
      <c r="A9" s="8" t="inlineStr">
        <is>
          <t>+43.7%  YoY</t>
        </is>
      </c>
      <c r="B9" s="8" t="inlineStr">
        <is>
          <t>—  GP Margin</t>
        </is>
      </c>
      <c r="C9" s="8" t="inlineStr">
        <is>
          <t>—  EBITDA Margin</t>
        </is>
      </c>
      <c r="D9" s="8" t="inlineStr">
        <is>
          <t>37.5%  NI Margin</t>
        </is>
      </c>
      <c r="E9" s="8" t="inlineStr">
        <is>
          <t>36.9%  FCF / Revenue</t>
        </is>
      </c>
    </row>
    <row r="10"/>
    <row r="11">
      <c r="A11" s="5" t="inlineStr">
        <is>
          <t>FINANCIAL HEALTH</t>
        </is>
      </c>
    </row>
    <row r="12">
      <c r="A12" s="9" t="inlineStr">
        <is>
          <t>Metric</t>
        </is>
      </c>
      <c r="B12" s="10" t="inlineStr">
        <is>
          <t>Value</t>
        </is>
      </c>
      <c r="C12" s="10" t="inlineStr">
        <is>
          <t>Rating</t>
        </is>
      </c>
    </row>
    <row r="13">
      <c r="A13" t="inlineStr">
        <is>
          <t>Liquidity  (Current Ratio)</t>
        </is>
      </c>
      <c r="B13" s="11" t="n">
        <v>2.020034738205473</v>
      </c>
      <c r="C13" s="12" t="inlineStr">
        <is>
          <t>GREEN</t>
        </is>
      </c>
    </row>
    <row r="14">
      <c r="A14" t="inlineStr">
        <is>
          <t>Leverage  (Net Debt / EBITDA)</t>
        </is>
      </c>
      <c r="B14" s="13" t="inlineStr">
        <is>
          <t>—</t>
        </is>
      </c>
      <c r="C14" s="14" t="inlineStr">
        <is>
          <t>N/A</t>
        </is>
      </c>
    </row>
    <row r="15">
      <c r="A15" t="inlineStr">
        <is>
          <t>Revenue Growth  (YoY %)</t>
        </is>
      </c>
      <c r="B15" s="15" t="n">
        <v>43.7148</v>
      </c>
      <c r="C15" s="12" t="inlineStr">
        <is>
          <t>GREEN</t>
        </is>
      </c>
    </row>
    <row r="16">
      <c r="A16" t="inlineStr">
        <is>
          <t>FCF Conversion  (FCF / Net Income %)</t>
        </is>
      </c>
      <c r="B16" s="15" t="n">
        <v>98.598</v>
      </c>
      <c r="C16" s="16" t="inlineStr">
        <is>
          <t>AMBER</t>
        </is>
      </c>
    </row>
    <row r="17">
      <c r="A17" t="inlineStr">
        <is>
          <t>Interest Cover  (EBIT / Interest)</t>
        </is>
      </c>
      <c r="B17" s="13" t="inlineStr">
        <is>
          <t>—</t>
        </is>
      </c>
      <c r="C17" s="14" t="inlineStr">
        <is>
          <t>N/A</t>
        </is>
      </c>
    </row>
    <row r="18"/>
    <row r="19">
      <c r="A19" s="5" t="inlineStr">
        <is>
          <t>VALUATION</t>
        </is>
      </c>
    </row>
    <row r="20">
      <c r="A20" s="17" t="inlineStr">
        <is>
          <t>Market Cap ($M):</t>
        </is>
      </c>
      <c r="B20" s="18" t="n">
        <v>88963.24000000001</v>
      </c>
    </row>
    <row r="21">
      <c r="A21" s="9" t="inlineStr">
        <is>
          <t>Multiple</t>
        </is>
      </c>
      <c r="B21" s="10" t="inlineStr">
        <is>
          <t>Value</t>
        </is>
      </c>
      <c r="C21" s="10" t="inlineStr">
        <is>
          <t>Denominator</t>
        </is>
      </c>
    </row>
    <row r="22">
      <c r="A22" t="inlineStr">
        <is>
          <t>Mkt Cap / EBITDA</t>
        </is>
      </c>
      <c r="B22" s="11">
        <f>IFERROR($B$20*1000000/$C$8,"—")</f>
        <v/>
      </c>
      <c r="C22" s="19" t="inlineStr">
        <is>
          <t>/ EBITDA</t>
        </is>
      </c>
    </row>
    <row r="23">
      <c r="A23" t="inlineStr">
        <is>
          <t>P / E</t>
        </is>
      </c>
      <c r="B23" s="11">
        <f>IFERROR($B$20*1000000/$D$8,"—")</f>
        <v/>
      </c>
      <c r="C23" s="19" t="inlineStr">
        <is>
          <t>/ Net Income</t>
        </is>
      </c>
    </row>
    <row r="24">
      <c r="A24" t="inlineStr">
        <is>
          <t>Mkt Cap / Revenue</t>
        </is>
      </c>
      <c r="B24" s="11">
        <f>IFERROR($B$20*1000000/$A$8,"—")</f>
        <v/>
      </c>
      <c r="C24" s="19" t="inlineStr">
        <is>
          <t>/ Revenue</t>
        </is>
      </c>
    </row>
    <row r="25">
      <c r="A25" t="inlineStr">
        <is>
          <t>P / FCF</t>
        </is>
      </c>
      <c r="B25" s="11">
        <f>IFERROR($B$20*1000000/$E$8,"—")</f>
        <v/>
      </c>
      <c r="C25" s="19" t="inlineStr">
        <is>
          <t>/ Free Cash Flow</t>
        </is>
      </c>
    </row>
    <row r="26">
      <c r="A26" s="20" t="inlineStr">
        <is>
          <t>Multiples calculated using market cap entered at time of analysis. Verify current market cap before use.</t>
        </is>
      </c>
    </row>
    <row r="27"/>
    <row r="28">
      <c r="A28" s="5" t="inlineStr">
        <is>
          <t>CATALYSTS &amp; RISKS</t>
        </is>
      </c>
    </row>
    <row r="29" ht="28" customHeight="1">
      <c r="A29" s="21" t="inlineStr">
        <is>
          <t>(+)  East Gouldie truck-based production at Canadian Malartic is initiating in Q1 2026, adding approximately 120,000 oz in 2026 from a deposit with 5.7M oz in P&amp;P reserves, representing the single largest near-term organic production increment in the portfolio and a structural step-up in throughput utilisation at the existing mill.</t>
        </is>
      </c>
    </row>
    <row r="30" ht="28" customHeight="1">
      <c r="A30" s="21" t="inlineStr">
        <is>
          <t>(+)  Detour Lake underground project received an incremental $200M approval in 2025 targeting a potential development decision in 2027, with indicated resources now at 17.2M oz; if sanctioned, this converts Canada's largest open-pit gold mine into a combined operation with a path toward 1M oz annual production, a re-rating catalyst that is not priced into current reserve-based valuations.</t>
        </is>
      </c>
    </row>
    <row r="31" ht="28" customHeight="1">
      <c r="A31" s="22" t="inlineStr">
        <is>
          <t>(-)  The thesis depends on sustained gold prices above $3,000 per oz to justify the 2026 AISC guidance of $1,400-$1,550 and the $2.595B capex program; a reversion toward $2,500 per oz would compress free cash flow by roughly $3B annually at current volumes, eliminating the financial flexibility that underpins both the development pipeline and the buyback program.</t>
        </is>
      </c>
    </row>
    <row r="32"/>
    <row r="33">
      <c r="A33" s="5" t="inlineStr">
        <is>
          <t>BULL / BEAR CASE</t>
        </is>
      </c>
    </row>
    <row r="34">
      <c r="A34" s="23" t="inlineStr">
        <is>
          <t>BULL CASE</t>
        </is>
      </c>
      <c r="D34" s="24" t="inlineStr">
        <is>
          <t>BEAR CASE</t>
        </is>
      </c>
    </row>
    <row r="35" ht="42" customHeight="1">
      <c r="A35" s="25" t="inlineStr">
        <is>
          <t>Record reserves fund decade growth
Proven and probable gold mineral reserves hit a record 55.4 million ounces at December 31, 2025, up 2.1% after replacing 3.0 million ounces mined, with East Gouldie alone carrying 5.7 million ounces of probable reserves at 3.23 g/t -- underpinning management's stated potential to exceed 4 million ounces annually in the early 2030s.</t>
        </is>
      </c>
      <c r="D35" s="26" t="inlineStr">
        <is>
          <t>Capex balloon breaches guidance ceiling
Total capital expenditures of $2.39 billion in 2025 came in above the high end of the $2.04-$2.26 billion guidance range, and 2026 guided capex rises further to approximately $2.60 billion, with development capital alone at $1.44 billion in 2025 -- up 49% year-over-year -- concentrated in Canadian Malartic, Detour Lake underground, and Hope Bay, all still pre-production.</t>
        </is>
      </c>
    </row>
    <row r="36" ht="42" customHeight="1">
      <c r="A36" s="25" t="inlineStr">
        <is>
          <t>Net cash fortress from debt elimination
The Company moved from net debt of $216.5 million at year-end 2024 to net cash of $2.67 billion at year-end 2025 after repaying $950 million in senior notes, while free cash flow surged to $4.40 billion in 2025 from $2.14 billion in 2024, supported by a 44.9% increase in realized gold price to $3,454 per ounce.</t>
        </is>
      </c>
      <c r="D36" s="26" t="inlineStr">
        <is>
          <t>Royalty-driven cost creep accelerating
Total cash costs per ounce exceeded the full-year guidance range of $915-$965 (actual $979) and AISC of $1,339 exceeded guidance of $1,250-$1,300, with management explicitly attributing the miss to higher royalty costs from elevated gold prices; 2026 AISC guidance widens further to $1,400-$1,550, implying a structural cost step-up even at flat production.</t>
        </is>
      </c>
    </row>
    <row r="37" ht="42" customHeight="1">
      <c r="A37" s="25" t="inlineStr">
        <is>
          <t>Operating leverage compresses unit costs
Despite a 44.9% rise in realized gold price, total cash costs per ounce rose only 8.4% to $979, producing an operating margin expansion to $8.57 billion from $5.20 billion in 2024; Macassa received a $229 million impairment reversal and Detour Lake's underground project received an incremental $200 million approval, signalling confidence in high-return volume growth.</t>
        </is>
      </c>
      <c r="D37" s="26" t="inlineStr">
        <is>
          <t>Fosterville grade decline structurally compresses
Fosterville gold production fell 28.7% to 160,522 ounces in 2025 as high-grade Swan zone depletes, with grade dropping from 8.96 g/t in 2024 to 7.20 g/t and total cash costs rising from $647 to $937 per ounce; 2026 guidance of 140,000-160,000 ounces at approximately $1,374 per ounce represents a near-doubling of unit costs versus 2024, and the planned throughput scale-up to 3,300 tpd over three years carries execution risk.</t>
        </is>
      </c>
    </row>
    <row r="39">
      <c r="A39" s="27" t="inlineStr">
        <is>
          <t>FinLens  ·  AI-powered investment analysis  ·  Powered by Claude  ·  Market data: yfinance (15-min delay)  ·  For internal use only</t>
        </is>
      </c>
    </row>
  </sheetData>
  <mergeCells count="22">
    <mergeCell ref="A37:C37"/>
    <mergeCell ref="A26:F26"/>
    <mergeCell ref="A33:F33"/>
    <mergeCell ref="D37:F37"/>
    <mergeCell ref="A35:C35"/>
    <mergeCell ref="A29:F29"/>
    <mergeCell ref="A28:F28"/>
    <mergeCell ref="A19:F19"/>
    <mergeCell ref="A31:F31"/>
    <mergeCell ref="D35:F35"/>
    <mergeCell ref="C1:F1"/>
    <mergeCell ref="A34:C34"/>
    <mergeCell ref="A1:B2"/>
    <mergeCell ref="A30:F30"/>
    <mergeCell ref="A39:F39"/>
    <mergeCell ref="A3:F4"/>
    <mergeCell ref="D34:F34"/>
    <mergeCell ref="A11:F11"/>
    <mergeCell ref="A36:C36"/>
    <mergeCell ref="D36:F36"/>
    <mergeCell ref="A6:F6"/>
    <mergeCell ref="C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8" t="inlineStr">
        <is>
          <t>Agnico Eagle Mines Limited</t>
        </is>
      </c>
      <c r="B1" s="29" t="n"/>
      <c r="C1" s="29" t="n"/>
    </row>
    <row r="2">
      <c r="A2" s="30" t="inlineStr">
        <is>
          <t>Key Ratios</t>
        </is>
      </c>
      <c r="B2" s="29" t="n"/>
      <c r="C2" s="29" t="n"/>
    </row>
    <row r="3">
      <c r="A3" s="29" t="inlineStr">
        <is>
          <t>2025-12-31</t>
        </is>
      </c>
      <c r="B3" s="29" t="n"/>
      <c r="C3" s="29" t="n"/>
    </row>
    <row r="4">
      <c r="A4" s="31" t="inlineStr">
        <is>
          <t>Calculated from reported financial statements</t>
        </is>
      </c>
      <c r="B4" s="32" t="n"/>
      <c r="C4" s="32" t="n"/>
    </row>
    <row r="6">
      <c r="A6" s="9" t="inlineStr">
        <is>
          <t>Line Item</t>
        </is>
      </c>
      <c r="B6" s="33" t="inlineStr">
        <is>
          <t>Year Ended December 31, 2024</t>
        </is>
      </c>
      <c r="C6" s="33" t="inlineStr">
        <is>
          <t>Year Ended December 31, 2025</t>
        </is>
      </c>
    </row>
    <row r="7">
      <c r="A7" s="5" t="inlineStr">
        <is>
          <t>PROFITABILITY</t>
        </is>
      </c>
      <c r="B7" s="34" t="n"/>
      <c r="C7" s="34" t="n"/>
    </row>
    <row r="8">
      <c r="A8" s="35" t="inlineStr">
        <is>
          <t>Gross Margin</t>
        </is>
      </c>
      <c r="B8" s="36" t="inlineStr">
        <is>
          <t>—</t>
        </is>
      </c>
      <c r="C8" s="36" t="inlineStr">
        <is>
          <t>—</t>
        </is>
      </c>
    </row>
    <row r="9">
      <c r="A9" s="35" t="inlineStr">
        <is>
          <t>Operating Margin</t>
        </is>
      </c>
      <c r="B9" s="36" t="inlineStr">
        <is>
          <t>—</t>
        </is>
      </c>
      <c r="C9" s="36" t="inlineStr">
        <is>
          <t>—</t>
        </is>
      </c>
    </row>
    <row r="10">
      <c r="A10" s="35" t="inlineStr">
        <is>
          <t>Net Margin</t>
        </is>
      </c>
      <c r="B10" s="37" t="n">
        <v>22.8776</v>
      </c>
      <c r="C10" s="37" t="n">
        <v>37.4666</v>
      </c>
    </row>
    <row r="11">
      <c r="A11" s="35" t="inlineStr">
        <is>
          <t>Return on Equity</t>
        </is>
      </c>
      <c r="B11" s="37" t="n">
        <v>9.099</v>
      </c>
      <c r="C11" s="37" t="n">
        <v>18.0316</v>
      </c>
    </row>
    <row r="13">
      <c r="A13" s="5" t="inlineStr">
        <is>
          <t>LIQUIDITY</t>
        </is>
      </c>
      <c r="B13" s="34" t="n"/>
      <c r="C13" s="34" t="n"/>
    </row>
    <row r="14">
      <c r="A14" s="35" t="inlineStr">
        <is>
          <t>Current Ratio</t>
        </is>
      </c>
      <c r="B14" s="38" t="n">
        <v>1.855387525504889</v>
      </c>
      <c r="C14" s="38" t="n">
        <v>2.020034738205473</v>
      </c>
    </row>
    <row r="15">
      <c r="A15" s="35" t="inlineStr">
        <is>
          <t>Quick Ratio</t>
        </is>
      </c>
      <c r="B15" s="38" t="n">
        <v>0.8562136028281078</v>
      </c>
      <c r="C15" s="38" t="n">
        <v>1.33286303811252</v>
      </c>
    </row>
    <row r="17">
      <c r="A17" s="5" t="inlineStr">
        <is>
          <t>LEVERAGE</t>
        </is>
      </c>
      <c r="B17" s="34" t="n"/>
      <c r="C17" s="34" t="n"/>
    </row>
    <row r="18">
      <c r="A18" s="35" t="inlineStr">
        <is>
          <t>Debt to Equity</t>
        </is>
      </c>
      <c r="B18" s="38" t="n">
        <v>0.4394068036615161</v>
      </c>
      <c r="C18" s="38" t="n">
        <v>0.3932036437438082</v>
      </c>
    </row>
    <row r="19">
      <c r="A19" s="35" t="inlineStr">
        <is>
          <t>Interest Coverage</t>
        </is>
      </c>
      <c r="B19" s="36" t="inlineStr">
        <is>
          <t>—</t>
        </is>
      </c>
      <c r="C19" s="36" t="inlineStr">
        <is>
          <t>—</t>
        </is>
      </c>
    </row>
    <row r="21">
      <c r="A21" s="20" t="inlineStr">
        <is>
          <t>Note: All ratios are calculated from figures extracted by AI. Verify against the source document before use. A '—' indicates the ratio could not be computed from the available data (e.g. Interest Coverage where net interest expense is zero or not reported).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8" t="inlineStr">
        <is>
          <t>Agnico Eagle Mines Limited</t>
        </is>
      </c>
      <c r="B1" s="29" t="n"/>
      <c r="C1" s="29" t="n"/>
    </row>
    <row r="2">
      <c r="A2" s="30" t="inlineStr">
        <is>
          <t>Income Statement</t>
        </is>
      </c>
      <c r="B2" s="29" t="n"/>
      <c r="C2" s="29" t="n"/>
    </row>
    <row r="3">
      <c r="A3" s="29" t="inlineStr">
        <is>
          <t>2025-12-31</t>
        </is>
      </c>
      <c r="B3" s="29" t="n"/>
      <c r="C3" s="29" t="n"/>
    </row>
    <row r="4">
      <c r="A4" s="31" t="inlineStr">
        <is>
          <t>Currency: USD</t>
        </is>
      </c>
      <c r="B4" s="32" t="n"/>
      <c r="C4" s="32" t="n"/>
    </row>
    <row r="6">
      <c r="A6" s="9" t="inlineStr">
        <is>
          <t>Line Item</t>
        </is>
      </c>
      <c r="B6" s="33" t="inlineStr">
        <is>
          <t>Year Ended December 31, 2024</t>
        </is>
      </c>
      <c r="C6" s="33" t="inlineStr">
        <is>
          <t>Year Ended December 31, 2025</t>
        </is>
      </c>
    </row>
    <row r="7">
      <c r="A7" t="inlineStr">
        <is>
          <t>Revenues from mining operations (Note 19)</t>
        </is>
      </c>
      <c r="B7" s="39" t="n">
        <v>8285753000</v>
      </c>
      <c r="C7" s="39" t="n">
        <v>11907851000</v>
      </c>
    </row>
    <row r="8">
      <c r="A8" t="inlineStr">
        <is>
          <t>Production (i)</t>
        </is>
      </c>
      <c r="B8" s="39" t="n">
        <v>3086080000</v>
      </c>
      <c r="C8" s="39" t="n">
        <v>3340684000</v>
      </c>
    </row>
    <row r="9">
      <c r="A9" t="inlineStr">
        <is>
          <t>Exploration and corporate development</t>
        </is>
      </c>
      <c r="B9" s="39" t="n">
        <v>219610000</v>
      </c>
      <c r="C9" s="39" t="n">
        <v>206684000</v>
      </c>
    </row>
    <row r="10">
      <c r="A10" t="inlineStr">
        <is>
          <t>Amortization of property, plant and mine development (Note 9)</t>
        </is>
      </c>
      <c r="B10" s="39" t="n">
        <v>1514076000</v>
      </c>
      <c r="C10" s="39" t="n">
        <v>1645297000</v>
      </c>
    </row>
    <row r="11">
      <c r="A11" t="inlineStr">
        <is>
          <t>General and administrative</t>
        </is>
      </c>
      <c r="B11" s="39" t="n">
        <v>207450000</v>
      </c>
      <c r="C11" s="39" t="n">
        <v>235947000</v>
      </c>
    </row>
    <row r="12">
      <c r="A12" t="inlineStr">
        <is>
          <t>Finance costs (Note 14)</t>
        </is>
      </c>
      <c r="B12" s="39" t="n">
        <v>126738000</v>
      </c>
      <c r="C12" s="39" t="n">
        <v>91145000</v>
      </c>
    </row>
    <row r="13">
      <c r="A13" t="inlineStr">
        <is>
          <t>(Gain) loss on derivative financial instruments (Note 21)</t>
        </is>
      </c>
      <c r="B13" s="39" t="n">
        <v>155819000</v>
      </c>
      <c r="C13" s="40" t="n">
        <v>-223960000</v>
      </c>
    </row>
    <row r="14">
      <c r="A14" t="inlineStr">
        <is>
          <t>Impairment reversal (Note 24)</t>
        </is>
      </c>
      <c r="B14" s="39" t="n">
        <v>0</v>
      </c>
      <c r="C14" s="40" t="n">
        <v>-229000000</v>
      </c>
    </row>
    <row r="15">
      <c r="A15" t="inlineStr">
        <is>
          <t>Foreign currency translation (gain) loss</t>
        </is>
      </c>
      <c r="B15" s="39" t="n">
        <v>9383000</v>
      </c>
      <c r="C15" s="40" t="n">
        <v>-25654000</v>
      </c>
    </row>
    <row r="16">
      <c r="A16" t="inlineStr">
        <is>
          <t>Care and maintenance</t>
        </is>
      </c>
      <c r="B16" s="39" t="n">
        <v>60574000</v>
      </c>
      <c r="C16" s="39" t="n">
        <v>69802000</v>
      </c>
    </row>
    <row r="17">
      <c r="A17" t="inlineStr">
        <is>
          <t>Other income and expenses (Note 22)</t>
        </is>
      </c>
      <c r="B17" s="39" t="n">
        <v>84468000</v>
      </c>
      <c r="C17" s="39" t="n">
        <v>92995000</v>
      </c>
    </row>
    <row r="18">
      <c r="A18" t="inlineStr">
        <is>
          <t>Income before income and mining taxes</t>
        </is>
      </c>
      <c r="B18" s="39" t="n">
        <v>2821555000</v>
      </c>
      <c r="C18" s="39" t="n">
        <v>6703911000</v>
      </c>
    </row>
    <row r="19">
      <c r="A19" t="inlineStr">
        <is>
          <t>Income and mining taxes expense (Note 25)</t>
        </is>
      </c>
      <c r="B19" s="39" t="n">
        <v>925974000</v>
      </c>
      <c r="C19" s="39" t="n">
        <v>2242450000</v>
      </c>
    </row>
    <row r="20">
      <c r="A20" t="inlineStr">
        <is>
          <t>Net income for the year</t>
        </is>
      </c>
      <c r="B20" s="39" t="n">
        <v>1895581000</v>
      </c>
      <c r="C20" s="39" t="n">
        <v>4461461000</v>
      </c>
    </row>
    <row r="21">
      <c r="A21" t="inlineStr">
        <is>
          <t>Net income per share – basic (Note 16)</t>
        </is>
      </c>
      <c r="B21" s="41" t="n">
        <v>3.79</v>
      </c>
      <c r="C21" s="41" t="n">
        <v>8.890000000000001</v>
      </c>
    </row>
    <row r="22">
      <c r="A22" t="inlineStr">
        <is>
          <t>Net income per share – diluted (Note 16)</t>
        </is>
      </c>
      <c r="B22" s="41" t="n">
        <v>3.78</v>
      </c>
      <c r="C22" s="41" t="n">
        <v>8.859999999999999</v>
      </c>
    </row>
    <row r="23">
      <c r="A23" t="inlineStr">
        <is>
          <t>Cash dividends declared per common share</t>
        </is>
      </c>
      <c r="B23" s="39" t="n">
        <v>1.6</v>
      </c>
      <c r="C23" s="39" t="n">
        <v>1.6</v>
      </c>
    </row>
    <row r="24">
      <c r="A24" t="inlineStr">
        <is>
          <t>Net income for the year</t>
        </is>
      </c>
      <c r="B24" s="39" t="n">
        <v>1895581000</v>
      </c>
      <c r="C24" s="39" t="n">
        <v>4461461000</v>
      </c>
    </row>
    <row r="25">
      <c r="A25" t="inlineStr">
        <is>
          <t>Derivative financial instruments (Note 18): Reclassified from the cash flow hedge reserve to net income</t>
        </is>
      </c>
      <c r="B25" s="39" t="n">
        <v>1176000</v>
      </c>
      <c r="C25" s="39" t="n">
        <v>1176000</v>
      </c>
    </row>
    <row r="26">
      <c r="A26" t="inlineStr">
        <is>
          <t>Remeasurement loss on pension benefit obligations</t>
        </is>
      </c>
      <c r="B26" s="40" t="n">
        <v>-2254000</v>
      </c>
      <c r="C26" s="40" t="n">
        <v>-2704000</v>
      </c>
    </row>
    <row r="27">
      <c r="A27" t="inlineStr">
        <is>
          <t>Income tax impact (pension)</t>
        </is>
      </c>
      <c r="B27" s="39" t="n">
        <v>46000</v>
      </c>
      <c r="C27" s="39" t="n">
        <v>43000</v>
      </c>
    </row>
    <row r="28">
      <c r="A28" t="inlineStr">
        <is>
          <t>Net change in fair value of equity securities</t>
        </is>
      </c>
      <c r="B28" s="39" t="n">
        <v>56944000</v>
      </c>
      <c r="C28" s="39" t="n">
        <v>790066000</v>
      </c>
    </row>
    <row r="29">
      <c r="A29" t="inlineStr">
        <is>
          <t>Income tax impact (equity securities)</t>
        </is>
      </c>
      <c r="B29" s="39" t="n">
        <v>0</v>
      </c>
      <c r="C29" s="40" t="n">
        <v>-110975000</v>
      </c>
    </row>
    <row r="30">
      <c r="A30" t="inlineStr">
        <is>
          <t>Other comprehensive income for the year</t>
        </is>
      </c>
      <c r="B30" s="39" t="n">
        <v>55912000</v>
      </c>
      <c r="C30" s="39" t="n">
        <v>677606000</v>
      </c>
    </row>
    <row r="31">
      <c r="A31" t="inlineStr">
        <is>
          <t>Comprehensive income for the year</t>
        </is>
      </c>
      <c r="B31" s="39" t="n">
        <v>1951493000</v>
      </c>
      <c r="C31" s="39" t="n">
        <v>5139067000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8" t="inlineStr">
        <is>
          <t>Agnico Eagle Mines Limited</t>
        </is>
      </c>
      <c r="B1" s="29" t="n"/>
      <c r="C1" s="29" t="n"/>
    </row>
    <row r="2">
      <c r="A2" s="30" t="inlineStr">
        <is>
          <t>Balance Sheet</t>
        </is>
      </c>
      <c r="B2" s="29" t="n"/>
      <c r="C2" s="29" t="n"/>
    </row>
    <row r="3">
      <c r="A3" s="29" t="inlineStr">
        <is>
          <t>2025-12-31</t>
        </is>
      </c>
      <c r="B3" s="29" t="n"/>
      <c r="C3" s="29" t="n"/>
    </row>
    <row r="4">
      <c r="A4" s="31" t="inlineStr">
        <is>
          <t>Currency: USD</t>
        </is>
      </c>
      <c r="B4" s="32" t="n"/>
      <c r="C4" s="32" t="n"/>
    </row>
    <row r="6">
      <c r="A6" s="9" t="inlineStr">
        <is>
          <t>Line Item</t>
        </is>
      </c>
      <c r="B6" s="33" t="inlineStr">
        <is>
          <t>Year Ended December 31, 2024</t>
        </is>
      </c>
      <c r="C6" s="33" t="inlineStr">
        <is>
          <t>Year Ended December 31, 2025</t>
        </is>
      </c>
    </row>
    <row r="7">
      <c r="A7" t="inlineStr">
        <is>
          <t>Cash and cash equivalents (Note 20)</t>
        </is>
      </c>
      <c r="B7" s="39" t="n">
        <v>926431000</v>
      </c>
      <c r="C7" s="39" t="n">
        <v>2866053000</v>
      </c>
    </row>
    <row r="8">
      <c r="A8" t="inlineStr">
        <is>
          <t>Inventories (Note 7)</t>
        </is>
      </c>
      <c r="B8" s="39" t="n">
        <v>1510716000</v>
      </c>
      <c r="C8" s="39" t="n">
        <v>1698830000</v>
      </c>
    </row>
    <row r="9">
      <c r="A9" t="inlineStr">
        <is>
          <t>Income taxes recoverable</t>
        </is>
      </c>
      <c r="B9" s="39" t="n">
        <v>26432000</v>
      </c>
      <c r="C9" s="39" t="n">
        <v>9435000</v>
      </c>
    </row>
    <row r="10">
      <c r="A10" t="inlineStr">
        <is>
          <t>Fair value of derivative financial instruments (Notes 6 and 21)</t>
        </is>
      </c>
      <c r="B10" s="39" t="n">
        <v>1348000</v>
      </c>
      <c r="C10" s="39" t="n">
        <v>34428000</v>
      </c>
    </row>
    <row r="11">
      <c r="A11" t="inlineStr">
        <is>
          <t>Other current assets (Note 8A)</t>
        </is>
      </c>
      <c r="B11" s="39" t="n">
        <v>340354000</v>
      </c>
      <c r="C11" s="39" t="n">
        <v>385196000</v>
      </c>
    </row>
    <row r="12">
      <c r="A12" t="inlineStr">
        <is>
          <t>Total current assets</t>
        </is>
      </c>
      <c r="B12" s="39" t="n">
        <v>2805281000</v>
      </c>
      <c r="C12" s="39" t="n">
        <v>4993942000</v>
      </c>
    </row>
    <row r="13">
      <c r="A13" t="inlineStr">
        <is>
          <t>Goodwill (Notes 23 and 24)</t>
        </is>
      </c>
      <c r="B13" s="39" t="n">
        <v>4157672000</v>
      </c>
      <c r="C13" s="39" t="n">
        <v>4157672000</v>
      </c>
    </row>
    <row r="14">
      <c r="A14" t="inlineStr">
        <is>
          <t>Property, plant and mine development (Note 9)</t>
        </is>
      </c>
      <c r="B14" s="39" t="n">
        <v>21466499000</v>
      </c>
      <c r="C14" s="39" t="n">
        <v>22850540000</v>
      </c>
    </row>
    <row r="15">
      <c r="A15" t="inlineStr">
        <is>
          <t>Investments (Notes 6 and 10)</t>
        </is>
      </c>
      <c r="B15" s="39" t="n">
        <v>612889000</v>
      </c>
      <c r="C15" s="39" t="n">
        <v>1508252000</v>
      </c>
    </row>
    <row r="16">
      <c r="A16" t="inlineStr">
        <is>
          <t>Deferred income and mining tax asset (Note 25)</t>
        </is>
      </c>
      <c r="B16" s="39" t="n">
        <v>29198000</v>
      </c>
      <c r="C16" s="39" t="n">
        <v>17821000</v>
      </c>
    </row>
    <row r="17">
      <c r="A17" t="inlineStr">
        <is>
          <t>Other assets (Note 8B)</t>
        </is>
      </c>
      <c r="B17" s="39" t="n">
        <v>915479000</v>
      </c>
      <c r="C17" s="39" t="n">
        <v>943064000</v>
      </c>
    </row>
    <row r="18">
      <c r="A18" t="inlineStr">
        <is>
          <t>Total assets</t>
        </is>
      </c>
      <c r="B18" s="39" t="n">
        <v>29987018000</v>
      </c>
      <c r="C18" s="39" t="n">
        <v>34471291000</v>
      </c>
    </row>
    <row r="19">
      <c r="A19" t="inlineStr">
        <is>
          <t>Accounts payable and accrued liabilities (Note 11)</t>
        </is>
      </c>
      <c r="B19" s="39" t="n">
        <v>823412000</v>
      </c>
      <c r="C19" s="39" t="n">
        <v>1033444000</v>
      </c>
    </row>
    <row r="20">
      <c r="A20" t="inlineStr">
        <is>
          <t>Share based liabilities (Note 17)</t>
        </is>
      </c>
      <c r="B20" s="39" t="n">
        <v>27290000</v>
      </c>
      <c r="C20" s="39" t="n">
        <v>31722000</v>
      </c>
    </row>
    <row r="21">
      <c r="A21" t="inlineStr">
        <is>
          <t>Income taxes payable</t>
        </is>
      </c>
      <c r="B21" s="39" t="n">
        <v>372197000</v>
      </c>
      <c r="C21" s="39" t="n">
        <v>1226347000</v>
      </c>
    </row>
    <row r="22">
      <c r="A22" t="inlineStr">
        <is>
          <t>Current portion of long-term debt (Note 14)</t>
        </is>
      </c>
      <c r="B22" s="39" t="n">
        <v>90000000</v>
      </c>
      <c r="C22" s="39" t="n">
        <v>0</v>
      </c>
    </row>
    <row r="23">
      <c r="A23" t="inlineStr">
        <is>
          <t>Reclamation provision (Note 12)</t>
        </is>
      </c>
      <c r="B23" s="39" t="n">
        <v>58579000</v>
      </c>
      <c r="C23" s="39" t="n">
        <v>144537000</v>
      </c>
    </row>
    <row r="24">
      <c r="A24" t="inlineStr">
        <is>
          <t>Lease obligations (Note 13)</t>
        </is>
      </c>
      <c r="B24" s="39" t="n">
        <v>40305000</v>
      </c>
      <c r="C24" s="39" t="n">
        <v>30480000</v>
      </c>
    </row>
    <row r="25">
      <c r="A25" t="inlineStr">
        <is>
          <t>Fair value of derivative financial instruments (Notes 6 and 21)</t>
        </is>
      </c>
      <c r="B25" s="39" t="n">
        <v>100182000</v>
      </c>
      <c r="C25" s="39" t="n">
        <v>5676000</v>
      </c>
    </row>
    <row r="26">
      <c r="A26" t="inlineStr">
        <is>
          <t>Total current liabilities</t>
        </is>
      </c>
      <c r="B26" s="39" t="n">
        <v>1511965000</v>
      </c>
      <c r="C26" s="39" t="n">
        <v>2472206000</v>
      </c>
    </row>
    <row r="27">
      <c r="A27" t="inlineStr">
        <is>
          <t>Long-term debt (Note 14)</t>
        </is>
      </c>
      <c r="B27" s="39" t="n">
        <v>1052956000</v>
      </c>
      <c r="C27" s="39" t="n">
        <v>196271000</v>
      </c>
    </row>
    <row r="28">
      <c r="A28" t="inlineStr">
        <is>
          <t>Reclamation provision (Note 12)</t>
        </is>
      </c>
      <c r="B28" s="39" t="n">
        <v>1026628000</v>
      </c>
      <c r="C28" s="39" t="n">
        <v>1318476000</v>
      </c>
    </row>
    <row r="29">
      <c r="A29" t="inlineStr">
        <is>
          <t>Lease obligations (Note 13)</t>
        </is>
      </c>
      <c r="B29" s="39" t="n">
        <v>98921000</v>
      </c>
      <c r="C29" s="39" t="n">
        <v>94719000</v>
      </c>
    </row>
    <row r="30">
      <c r="A30" t="inlineStr">
        <is>
          <t>Share based liabilities (Note 17)</t>
        </is>
      </c>
      <c r="B30" s="39" t="n">
        <v>12505000</v>
      </c>
      <c r="C30" s="39" t="n">
        <v>23921000</v>
      </c>
    </row>
    <row r="31">
      <c r="A31" t="inlineStr">
        <is>
          <t>Deferred income and mining tax liabilities (Note 25)</t>
        </is>
      </c>
      <c r="B31" s="39" t="n">
        <v>5162249000</v>
      </c>
      <c r="C31" s="39" t="n">
        <v>5373013000</v>
      </c>
    </row>
    <row r="32">
      <c r="A32" t="inlineStr">
        <is>
          <t>Other liabilities (Note 15)</t>
        </is>
      </c>
      <c r="B32" s="39" t="n">
        <v>288894000</v>
      </c>
      <c r="C32" s="39" t="n">
        <v>250221000</v>
      </c>
    </row>
    <row r="33">
      <c r="A33" t="inlineStr">
        <is>
          <t>Total liabilities</t>
        </is>
      </c>
      <c r="B33" s="39" t="n">
        <v>9154118000</v>
      </c>
      <c r="C33" s="39" t="n">
        <v>9728827000</v>
      </c>
    </row>
    <row r="34">
      <c r="A34" t="inlineStr">
        <is>
          <t>Common shares (Note 16): Outstanding – 500,768,400 common shares issued, less 721,800 shares held in trust</t>
        </is>
      </c>
      <c r="B34" s="39" t="n">
        <v>18675660000</v>
      </c>
      <c r="C34" s="39" t="n">
        <v>18699862000</v>
      </c>
    </row>
    <row r="35">
      <c r="A35" t="inlineStr">
        <is>
          <t>Stock options (Notes 16 and 17)</t>
        </is>
      </c>
      <c r="B35" s="39" t="n">
        <v>172145000</v>
      </c>
      <c r="C35" s="39" t="n">
        <v>166775000</v>
      </c>
    </row>
    <row r="36">
      <c r="A36" t="inlineStr">
        <is>
          <t>Retained earnings</t>
        </is>
      </c>
      <c r="B36" s="39" t="n">
        <v>2026242000</v>
      </c>
      <c r="C36" s="39" t="n">
        <v>5463906000</v>
      </c>
    </row>
    <row r="37">
      <c r="A37" t="inlineStr">
        <is>
          <t>Other reserves (Note 18)</t>
        </is>
      </c>
      <c r="B37" s="40" t="n">
        <v>-41147000</v>
      </c>
      <c r="C37" s="39" t="n">
        <v>411921000</v>
      </c>
    </row>
    <row r="38">
      <c r="A38" t="inlineStr">
        <is>
          <t>Total equity</t>
        </is>
      </c>
      <c r="B38" s="39" t="n">
        <v>20832900000</v>
      </c>
      <c r="C38" s="39" t="n">
        <v>24742464000</v>
      </c>
    </row>
    <row r="39">
      <c r="A39" t="inlineStr">
        <is>
          <t>Total liabilities and equity</t>
        </is>
      </c>
      <c r="B39" s="39" t="n">
        <v>29987018000</v>
      </c>
      <c r="C39" s="39" t="n">
        <v>34471291000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8" t="inlineStr">
        <is>
          <t>Agnico Eagle Mines Limited</t>
        </is>
      </c>
      <c r="B1" s="29" t="n"/>
      <c r="C1" s="29" t="n"/>
    </row>
    <row r="2">
      <c r="A2" s="30" t="inlineStr">
        <is>
          <t>Cash Flow Statement</t>
        </is>
      </c>
      <c r="B2" s="29" t="n"/>
      <c r="C2" s="29" t="n"/>
    </row>
    <row r="3">
      <c r="A3" s="29" t="inlineStr">
        <is>
          <t>2025-12-31</t>
        </is>
      </c>
      <c r="B3" s="29" t="n"/>
      <c r="C3" s="29" t="n"/>
    </row>
    <row r="4">
      <c r="A4" s="31" t="inlineStr">
        <is>
          <t>Currency: USD</t>
        </is>
      </c>
      <c r="B4" s="32" t="n"/>
      <c r="C4" s="32" t="n"/>
    </row>
    <row r="6">
      <c r="A6" s="9" t="inlineStr">
        <is>
          <t>Line Item</t>
        </is>
      </c>
      <c r="B6" s="33" t="inlineStr">
        <is>
          <t>Year Ended December 31, 2024</t>
        </is>
      </c>
      <c r="C6" s="33" t="inlineStr">
        <is>
          <t>Year Ended December 31, 2025</t>
        </is>
      </c>
    </row>
    <row r="7">
      <c r="A7" t="inlineStr">
        <is>
          <t>Net income for the year</t>
        </is>
      </c>
      <c r="B7" s="39" t="n">
        <v>1895581000</v>
      </c>
      <c r="C7" s="39" t="n">
        <v>4461461000</v>
      </c>
    </row>
    <row r="8">
      <c r="A8" t="inlineStr">
        <is>
          <t>Amortization of property, plant and mine development (Note 9)</t>
        </is>
      </c>
      <c r="B8" s="39" t="n">
        <v>1514076000</v>
      </c>
      <c r="C8" s="39" t="n">
        <v>1645297000</v>
      </c>
    </row>
    <row r="9">
      <c r="A9" t="inlineStr">
        <is>
          <t>Deferred income and mining taxes (Note 25)</t>
        </is>
      </c>
      <c r="B9" s="39" t="n">
        <v>213845000</v>
      </c>
      <c r="C9" s="39" t="n">
        <v>162158000</v>
      </c>
    </row>
    <row r="10">
      <c r="A10" t="inlineStr">
        <is>
          <t>Unrealized (gain) loss on currency and commodity derivatives (Note 21)</t>
        </is>
      </c>
      <c r="B10" s="39" t="n">
        <v>142396000</v>
      </c>
      <c r="C10" s="40" t="n">
        <v>-127585000</v>
      </c>
    </row>
    <row r="11">
      <c r="A11" t="inlineStr">
        <is>
          <t>Unrealized gain on warrants (Note 21)</t>
        </is>
      </c>
      <c r="B11" s="40" t="n">
        <v>-20383000</v>
      </c>
      <c r="C11" s="40" t="n">
        <v>-111203000</v>
      </c>
    </row>
    <row r="12">
      <c r="A12" t="inlineStr">
        <is>
          <t>Stock-based compensation (Note 17)</t>
        </is>
      </c>
      <c r="B12" s="39" t="n">
        <v>77404000</v>
      </c>
      <c r="C12" s="39" t="n">
        <v>97545000</v>
      </c>
    </row>
    <row r="13">
      <c r="A13" t="inlineStr">
        <is>
          <t>Impairment reversal (Note 24)</t>
        </is>
      </c>
      <c r="B13" s="39" t="n">
        <v>0</v>
      </c>
      <c r="C13" s="40" t="n">
        <v>-229000000</v>
      </c>
    </row>
    <row r="14">
      <c r="A14" t="inlineStr">
        <is>
          <t>Foreign currency translation (gain) loss</t>
        </is>
      </c>
      <c r="B14" s="39" t="n">
        <v>9383000</v>
      </c>
      <c r="C14" s="40" t="n">
        <v>-25654000</v>
      </c>
    </row>
    <row r="15">
      <c r="A15" t="inlineStr">
        <is>
          <t>Other</t>
        </is>
      </c>
      <c r="B15" s="39" t="n">
        <v>48566000</v>
      </c>
      <c r="C15" s="39" t="n">
        <v>139797000</v>
      </c>
    </row>
    <row r="16">
      <c r="A16" t="inlineStr">
        <is>
          <t>Income taxes</t>
        </is>
      </c>
      <c r="B16" s="39" t="n">
        <v>259327000</v>
      </c>
      <c r="C16" s="39" t="n">
        <v>886371000</v>
      </c>
    </row>
    <row r="17">
      <c r="A17" t="inlineStr">
        <is>
          <t>Inventories</t>
        </is>
      </c>
      <c r="B17" s="40" t="n">
        <v>-208300000</v>
      </c>
      <c r="C17" s="40" t="n">
        <v>-160744000</v>
      </c>
    </row>
    <row r="18">
      <c r="A18" t="inlineStr">
        <is>
          <t>Other current assets</t>
        </is>
      </c>
      <c r="B18" s="39" t="n">
        <v>1166000</v>
      </c>
      <c r="C18" s="40" t="n">
        <v>-43969000</v>
      </c>
    </row>
    <row r="19">
      <c r="A19" t="inlineStr">
        <is>
          <t>Accounts payable and accrued liabilities</t>
        </is>
      </c>
      <c r="B19" s="39" t="n">
        <v>27831000</v>
      </c>
      <c r="C19" s="39" t="n">
        <v>122639000</v>
      </c>
    </row>
    <row r="20">
      <c r="A20" t="inlineStr">
        <is>
          <t>Cash provided by operating activities</t>
        </is>
      </c>
      <c r="B20" s="39" t="n">
        <v>3960892000</v>
      </c>
      <c r="C20" s="39" t="n">
        <v>6817113000</v>
      </c>
    </row>
    <row r="21">
      <c r="A21" t="inlineStr">
        <is>
          <t>Additions to property, plant and mine development (Note 9)</t>
        </is>
      </c>
      <c r="B21" s="40" t="n">
        <v>-1817949000</v>
      </c>
      <c r="C21" s="40" t="n">
        <v>-2418200000</v>
      </c>
    </row>
    <row r="22">
      <c r="A22" t="inlineStr">
        <is>
          <t>Purchase of O3 Mining, net of cash and cash equivalents acquired (Note 5)</t>
        </is>
      </c>
      <c r="B22" s="39" t="n">
        <v>0</v>
      </c>
      <c r="C22" s="40" t="n">
        <v>-121960000</v>
      </c>
    </row>
    <row r="23">
      <c r="A23" t="inlineStr">
        <is>
          <t>Contributions for acquisition of mineral assets</t>
        </is>
      </c>
      <c r="B23" s="40" t="n">
        <v>-16296000</v>
      </c>
      <c r="C23" s="40" t="n">
        <v>-14972000</v>
      </c>
    </row>
    <row r="24">
      <c r="A24" t="inlineStr">
        <is>
          <t>Purchase of equity securities and other investments</t>
        </is>
      </c>
      <c r="B24" s="40" t="n">
        <v>-183021000</v>
      </c>
      <c r="C24" s="40" t="n">
        <v>-447494000</v>
      </c>
    </row>
    <row r="25">
      <c r="A25" t="inlineStr">
        <is>
          <t>Proceeds from sale of equity securities and other investments</t>
        </is>
      </c>
      <c r="B25" s="39" t="n">
        <v>0</v>
      </c>
      <c r="C25" s="39" t="n">
        <v>402720000</v>
      </c>
    </row>
    <row r="26">
      <c r="A26" t="inlineStr">
        <is>
          <t>Other investing activities</t>
        </is>
      </c>
      <c r="B26" s="39" t="n">
        <v>10152000</v>
      </c>
      <c r="C26" s="39" t="n">
        <v>1611000</v>
      </c>
    </row>
    <row r="27">
      <c r="A27" t="inlineStr">
        <is>
          <t>Cash used in investing activities</t>
        </is>
      </c>
      <c r="B27" s="40" t="n">
        <v>-2007114000</v>
      </c>
      <c r="C27" s="40" t="n">
        <v>-2598295000</v>
      </c>
    </row>
    <row r="28">
      <c r="A28" t="inlineStr">
        <is>
          <t>Proceeds from Credit Facility (Note 14)</t>
        </is>
      </c>
      <c r="B28" s="39" t="n">
        <v>600000000</v>
      </c>
      <c r="C28" s="39" t="n">
        <v>0</v>
      </c>
    </row>
    <row r="29">
      <c r="A29" t="inlineStr">
        <is>
          <t>Repayment of Credit Facility (Note 14)</t>
        </is>
      </c>
      <c r="B29" s="40" t="n">
        <v>-600000000</v>
      </c>
      <c r="C29" s="39" t="n">
        <v>0</v>
      </c>
    </row>
    <row r="30">
      <c r="A30" t="inlineStr">
        <is>
          <t>Repayment of Term Loan Facility (Note 14)</t>
        </is>
      </c>
      <c r="B30" s="40" t="n">
        <v>-600000000</v>
      </c>
      <c r="C30" s="39" t="n">
        <v>0</v>
      </c>
    </row>
    <row r="31">
      <c r="A31" t="inlineStr">
        <is>
          <t>Repayment of Senior Notes (Note 14)</t>
        </is>
      </c>
      <c r="B31" s="40" t="n">
        <v>-100000000</v>
      </c>
      <c r="C31" s="40" t="n">
        <v>-950000000</v>
      </c>
    </row>
    <row r="32">
      <c r="A32" t="inlineStr">
        <is>
          <t>Debt financing and extinguishment costs (Note 14)</t>
        </is>
      </c>
      <c r="B32" s="40" t="n">
        <v>-3544000</v>
      </c>
      <c r="C32" s="40" t="n">
        <v>-8245000</v>
      </c>
    </row>
    <row r="33">
      <c r="A33" t="inlineStr">
        <is>
          <t>Repayment of lease obligations</t>
        </is>
      </c>
      <c r="B33" s="40" t="n">
        <v>-47319000</v>
      </c>
      <c r="C33" s="40" t="n">
        <v>-36043000</v>
      </c>
    </row>
    <row r="34">
      <c r="A34" t="inlineStr">
        <is>
          <t>Dividends paid</t>
        </is>
      </c>
      <c r="B34" s="40" t="n">
        <v>-671655000</v>
      </c>
      <c r="C34" s="40" t="n">
        <v>-728077000</v>
      </c>
    </row>
    <row r="35">
      <c r="A35" t="inlineStr">
        <is>
          <t>Repurchase of common shares (Notes 16 and 17)</t>
        </is>
      </c>
      <c r="B35" s="40" t="n">
        <v>-169357000</v>
      </c>
      <c r="C35" s="40" t="n">
        <v>-682890000</v>
      </c>
    </row>
    <row r="36">
      <c r="A36" t="inlineStr">
        <is>
          <t>Proceeds from exercise of stock options (Note 17A)</t>
        </is>
      </c>
      <c r="B36" s="39" t="n">
        <v>198532000</v>
      </c>
      <c r="C36" s="39" t="n">
        <v>75749000</v>
      </c>
    </row>
    <row r="37">
      <c r="A37" t="inlineStr">
        <is>
          <t>Common shares issued (Note 16)</t>
        </is>
      </c>
      <c r="B37" s="39" t="n">
        <v>37012000</v>
      </c>
      <c r="C37" s="39" t="n">
        <v>42363000</v>
      </c>
    </row>
    <row r="38">
      <c r="A38" t="inlineStr">
        <is>
          <t>Cash used in financing activities</t>
        </is>
      </c>
      <c r="B38" s="40" t="n">
        <v>-1356331000</v>
      </c>
      <c r="C38" s="40" t="n">
        <v>-2287143000</v>
      </c>
    </row>
    <row r="39">
      <c r="A39" t="inlineStr">
        <is>
          <t>Effect of exchange rate changes on cash and cash equivalents</t>
        </is>
      </c>
      <c r="B39" s="40" t="n">
        <v>-9664000</v>
      </c>
      <c r="C39" s="39" t="n">
        <v>7947000</v>
      </c>
    </row>
    <row r="40">
      <c r="A40" t="inlineStr">
        <is>
          <t>Net increase in cash and cash equivalents during the year</t>
        </is>
      </c>
      <c r="B40" s="39" t="n">
        <v>587783000</v>
      </c>
      <c r="C40" s="39" t="n">
        <v>1939622000</v>
      </c>
    </row>
    <row r="41">
      <c r="A41" t="inlineStr">
        <is>
          <t>Cash and cash equivalents, beginning of year</t>
        </is>
      </c>
      <c r="B41" s="39" t="n">
        <v>338648000</v>
      </c>
      <c r="C41" s="39" t="n">
        <v>926431000</v>
      </c>
    </row>
    <row r="42">
      <c r="A42" t="inlineStr">
        <is>
          <t>Cash and cash equivalents, end of year</t>
        </is>
      </c>
      <c r="B42" s="39" t="n">
        <v>926431000</v>
      </c>
      <c r="C42" s="39" t="n">
        <v>2866053000</v>
      </c>
    </row>
    <row r="43">
      <c r="A43" t="inlineStr">
        <is>
          <t>Interest paid</t>
        </is>
      </c>
      <c r="B43" s="39" t="n">
        <v>103692000</v>
      </c>
      <c r="C43" s="39" t="n">
        <v>46875000</v>
      </c>
    </row>
    <row r="44">
      <c r="A44" t="inlineStr">
        <is>
          <t>Income and mining taxes paid</t>
        </is>
      </c>
      <c r="B44" s="39" t="n">
        <v>474028000</v>
      </c>
      <c r="C44" s="39" t="n">
        <v>1177927000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2026-10-27T11:27:27Z</dcterms:created>
  <dcterms:modified xmlns:dcterms="http://purl.org/dc/terms/" xmlns:xsi="http://www.w3.org/2001/XMLSchema-instance" xsi:type="dcterms:W3CDTF">2026-10-27T11:27:27Z</dcterms:modified>
</cp:coreProperties>
</file>